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gmar\Documents\AKI\PG\Chime\github\team_c\src\cluster\"/>
    </mc:Choice>
  </mc:AlternateContent>
  <xr:revisionPtr revIDLastSave="0" documentId="13_ncr:9_{34E6D822-E6CB-4188-B9FA-3BD84DC3F834}" xr6:coauthVersionLast="47" xr6:coauthVersionMax="47" xr10:uidLastSave="{00000000-0000-0000-0000-000000000000}"/>
  <bookViews>
    <workbookView xWindow="3795" yWindow="165" windowWidth="24780" windowHeight="11655" xr2:uid="{1B1B581E-BB26-4541-92BD-AEAECB1B361A}"/>
  </bookViews>
  <sheets>
    <sheet name="my_segs" sheetId="1" r:id="rId1"/>
  </sheets>
  <calcPr calcId="0"/>
</workbook>
</file>

<file path=xl/calcChain.xml><?xml version="1.0" encoding="utf-8"?>
<calcChain xmlns="http://schemas.openxmlformats.org/spreadsheetml/2006/main">
  <c r="F26" i="1" l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5" i="1"/>
  <c r="L26" i="1"/>
  <c r="L27" i="1"/>
  <c r="L28" i="1"/>
  <c r="L29" i="1"/>
  <c r="L30" i="1"/>
  <c r="L31" i="1"/>
  <c r="L32" i="1"/>
  <c r="L33" i="1"/>
  <c r="L34" i="1"/>
  <c r="L35" i="1"/>
  <c r="L36" i="1"/>
  <c r="L37" i="1"/>
  <c r="L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5" i="1"/>
</calcChain>
</file>

<file path=xl/sharedStrings.xml><?xml version="1.0" encoding="utf-8"?>
<sst xmlns="http://schemas.openxmlformats.org/spreadsheetml/2006/main" count="25" uniqueCount="10">
  <si>
    <t>spk_0</t>
  </si>
  <si>
    <t>spk_1</t>
  </si>
  <si>
    <t>spk_2</t>
  </si>
  <si>
    <t>spk_3</t>
  </si>
  <si>
    <t>spk_4</t>
  </si>
  <si>
    <t>spk_5</t>
  </si>
  <si>
    <t>Speaker Segs after merge (merge_threshold = 2sek)</t>
  </si>
  <si>
    <t>Dauer</t>
  </si>
  <si>
    <t>Start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</si>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</sst>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#,##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/>
    <xf numFmtId="0" fontId="0" fillId="38" borderId="0" xfId="0" applyFill="1" applyAlignment="1">
      <alignment horizontal="center"/>
    </xf>
    <xf numFmtId="168" fontId="0" fillId="33" borderId="0" xfId="0" applyNumberFormat="1" applyFill="1"/>
    <xf numFmtId="168" fontId="0" fillId="34" borderId="0" xfId="0" applyNumberFormat="1" applyFill="1"/>
    <xf numFmtId="168" fontId="0" fillId="35" borderId="0" xfId="0" applyNumberFormat="1" applyFill="1"/>
    <xf numFmtId="168" fontId="0" fillId="36" borderId="0" xfId="0" applyNumberFormat="1" applyFill="1"/>
    <xf numFmtId="168" fontId="0" fillId="37" borderId="0" xfId="0" applyNumberFormat="1" applyFill="1"/>
    <xf numFmtId="168" fontId="0" fillId="38" borderId="0" xfId="0" applyNumberFormat="1" applyFill="1"/>
    <xf numFmtId="3" fontId="0" fillId="0" borderId="0" xfId="0" applyNumberFormat="1"/>
    <xf numFmtId="168" fontId="0" fillId="0" borderId="0" xfId="0" applyNumberFormat="1"/>
    <xf numFmtId="169" fontId="0" fillId="33" borderId="0" xfId="0" applyNumberFormat="1" applyFill="1"/>
    <xf numFmtId="3" fontId="18" fillId="0" borderId="0" xfId="0" applyNumberFormat="1" applyFont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AA74-2967-4ABE-9052-FA11D8320692}">
  <dimension ref="A1:R55"/>
  <sheetViews>
    <sheetView tabSelected="1" workbookViewId="0">
      <selection activeCell="R42" sqref="R42"/>
    </sheetView>
  </sheetViews>
  <sheetFormatPr baseColWidth="10" defaultRowHeight="15" x14ac:dyDescent="0.25"/>
  <cols>
    <col min="1" max="1" width="14.85546875" customWidth="1"/>
    <col min="2" max="3" width="16.85546875" customWidth="1"/>
    <col min="4" max="4" width="13.85546875" customWidth="1"/>
    <col min="5" max="6" width="17.28515625" customWidth="1"/>
    <col min="7" max="7" width="11.28515625" customWidth="1"/>
    <col min="8" max="9" width="10.140625" customWidth="1"/>
    <col min="10" max="10" width="11.85546875" customWidth="1"/>
    <col min="11" max="12" width="11.7109375" customWidth="1"/>
    <col min="13" max="13" width="12.7109375" customWidth="1"/>
    <col min="14" max="15" width="16.7109375" customWidth="1"/>
    <col min="16" max="16" width="19.85546875" customWidth="1"/>
  </cols>
  <sheetData>
    <row r="1" spans="1:18" ht="17.25" customHeight="1" x14ac:dyDescent="0.25">
      <c r="A1" s="1" t="s">
        <v>0</v>
      </c>
      <c r="B1" s="1"/>
      <c r="C1" s="17"/>
      <c r="D1" s="2" t="s">
        <v>1</v>
      </c>
      <c r="E1" s="2"/>
      <c r="F1" s="18"/>
      <c r="G1" s="3" t="s">
        <v>2</v>
      </c>
      <c r="H1" s="3"/>
      <c r="I1" s="19"/>
      <c r="J1" s="4" t="s">
        <v>3</v>
      </c>
      <c r="K1" s="4"/>
      <c r="L1" s="20"/>
      <c r="M1" s="5" t="s">
        <v>4</v>
      </c>
      <c r="N1" s="5"/>
      <c r="O1" s="5"/>
      <c r="P1" s="6" t="s">
        <v>5</v>
      </c>
      <c r="Q1" s="6"/>
      <c r="R1" s="21"/>
    </row>
    <row r="2" spans="1:18" ht="17.25" customHeight="1" x14ac:dyDescent="0.25">
      <c r="A2" s="7">
        <v>3.6511</v>
      </c>
      <c r="B2" s="7">
        <v>10.2111</v>
      </c>
      <c r="C2" s="7"/>
      <c r="D2" s="8">
        <v>2.2911000000000001</v>
      </c>
      <c r="E2" s="8">
        <v>3.3311000000000002</v>
      </c>
      <c r="F2" s="8"/>
      <c r="G2" s="9">
        <v>0.891100000000001</v>
      </c>
      <c r="H2" s="9">
        <v>1.8511</v>
      </c>
      <c r="I2" s="9"/>
      <c r="J2" s="10">
        <v>3.3711000000000002</v>
      </c>
      <c r="K2" s="10">
        <v>8.8511000000000006</v>
      </c>
      <c r="L2" s="10"/>
      <c r="M2" s="11">
        <v>5.8910999999999998</v>
      </c>
      <c r="N2" s="11">
        <v>6.8510999999999997</v>
      </c>
      <c r="O2" s="11"/>
      <c r="P2" s="12">
        <v>6.6910999999999996</v>
      </c>
      <c r="Q2" s="12">
        <v>12.851100000000001</v>
      </c>
      <c r="R2" s="12"/>
    </row>
    <row r="3" spans="1:18" ht="17.25" customHeight="1" x14ac:dyDescent="0.25">
      <c r="A3" s="7">
        <v>10.251099999999999</v>
      </c>
      <c r="B3" s="7">
        <v>17.171099999999999</v>
      </c>
      <c r="C3" s="7"/>
      <c r="D3" s="8">
        <v>4.7310999999999996</v>
      </c>
      <c r="E3" s="8">
        <v>7.8510999999999997</v>
      </c>
      <c r="F3" s="8"/>
      <c r="G3" s="9">
        <v>9.9710999999999999</v>
      </c>
      <c r="H3" s="9">
        <v>20.851099999999999</v>
      </c>
      <c r="I3" s="9"/>
      <c r="J3" s="10">
        <v>13.331099999999999</v>
      </c>
      <c r="K3" s="10">
        <v>17.731100000000001</v>
      </c>
      <c r="L3" s="10"/>
      <c r="M3" s="11">
        <v>13.4511</v>
      </c>
      <c r="N3" s="11">
        <v>15.5311</v>
      </c>
      <c r="O3" s="11"/>
      <c r="P3" s="12">
        <v>14.4511</v>
      </c>
      <c r="Q3" s="12">
        <v>23.1311</v>
      </c>
      <c r="R3" s="12"/>
    </row>
    <row r="4" spans="1:18" ht="17.25" customHeight="1" x14ac:dyDescent="0.25">
      <c r="A4" s="7">
        <v>18.371099999999998</v>
      </c>
      <c r="B4" s="7">
        <v>27.6111</v>
      </c>
      <c r="C4" s="7"/>
      <c r="D4" s="8">
        <v>9.6911000000000005</v>
      </c>
      <c r="E4" s="8">
        <v>10.851100000000001</v>
      </c>
      <c r="F4" s="8"/>
      <c r="G4" s="9">
        <v>32.891100000000002</v>
      </c>
      <c r="H4" s="9">
        <v>40.851100000000002</v>
      </c>
      <c r="I4" s="9"/>
      <c r="J4" s="10">
        <v>18.891100000000002</v>
      </c>
      <c r="K4" s="10">
        <v>28.851099999999999</v>
      </c>
      <c r="L4" s="10"/>
      <c r="M4" s="11">
        <v>27.371099999999998</v>
      </c>
      <c r="N4" s="11">
        <v>28.851099999999999</v>
      </c>
      <c r="O4" s="11"/>
      <c r="P4" s="12">
        <v>23.171099999999999</v>
      </c>
      <c r="Q4" s="12">
        <v>31.851099999999999</v>
      </c>
      <c r="R4" s="12"/>
    </row>
    <row r="5" spans="1:18" ht="17.25" customHeight="1" x14ac:dyDescent="0.25">
      <c r="A5" s="7">
        <v>27.6511</v>
      </c>
      <c r="B5" s="7">
        <v>36.891100000000002</v>
      </c>
      <c r="C5" s="7"/>
      <c r="D5" s="8">
        <v>15.9711</v>
      </c>
      <c r="E5" s="8">
        <v>20.851099999999999</v>
      </c>
      <c r="F5" s="8"/>
      <c r="G5" s="9">
        <v>42.091099999999997</v>
      </c>
      <c r="H5" s="9">
        <v>51.451099999999997</v>
      </c>
      <c r="I5" s="9"/>
      <c r="J5" s="10">
        <v>82.451099999999997</v>
      </c>
      <c r="K5" s="10">
        <v>91.011099999999999</v>
      </c>
      <c r="L5" s="10"/>
      <c r="M5" s="11">
        <v>32.2911</v>
      </c>
      <c r="N5" s="11">
        <v>37.851100000000002</v>
      </c>
      <c r="O5" s="11"/>
      <c r="P5" s="12">
        <v>38.2911</v>
      </c>
      <c r="Q5" s="12">
        <v>43.2911</v>
      </c>
      <c r="R5" s="12"/>
    </row>
    <row r="6" spans="1:18" x14ac:dyDescent="0.25">
      <c r="A6" s="7">
        <v>36.931100000000001</v>
      </c>
      <c r="B6" s="7">
        <v>46.171100000000003</v>
      </c>
      <c r="C6" s="7"/>
      <c r="D6" s="8">
        <v>25.771100000000001</v>
      </c>
      <c r="E6" s="8">
        <v>28.851099999999999</v>
      </c>
      <c r="F6" s="8"/>
      <c r="G6" s="9">
        <v>51.491099999999904</v>
      </c>
      <c r="H6" s="9">
        <v>60.851099999999903</v>
      </c>
      <c r="I6" s="9"/>
      <c r="J6" s="10">
        <v>91.051099999999906</v>
      </c>
      <c r="K6" s="10">
        <v>98.851100000000002</v>
      </c>
      <c r="L6" s="10"/>
      <c r="M6" s="11">
        <v>62.211099999999902</v>
      </c>
      <c r="N6" s="11">
        <v>63.851099999999903</v>
      </c>
      <c r="O6" s="11"/>
      <c r="P6" s="12">
        <v>52.371099999999998</v>
      </c>
      <c r="Q6" s="12">
        <v>56.851099999999903</v>
      </c>
      <c r="R6" s="12"/>
    </row>
    <row r="7" spans="1:18" x14ac:dyDescent="0.25">
      <c r="A7" s="7">
        <v>47.531100000000002</v>
      </c>
      <c r="B7" s="7">
        <v>53.331099999999999</v>
      </c>
      <c r="C7" s="7"/>
      <c r="D7" s="8">
        <v>38.691099999999999</v>
      </c>
      <c r="E7" s="8">
        <v>40.851100000000002</v>
      </c>
      <c r="F7" s="8"/>
      <c r="G7" s="9">
        <v>62.371099999999998</v>
      </c>
      <c r="H7" s="9">
        <v>69.171099999999996</v>
      </c>
      <c r="I7" s="9"/>
      <c r="J7" s="10">
        <v>104.1311</v>
      </c>
      <c r="K7" s="10">
        <v>105.9311</v>
      </c>
      <c r="L7" s="10"/>
      <c r="M7" s="11">
        <v>65.811099999999996</v>
      </c>
      <c r="N7" s="11">
        <v>67.851100000000002</v>
      </c>
      <c r="O7" s="11"/>
      <c r="P7" s="12">
        <v>61.251100000000001</v>
      </c>
      <c r="Q7" s="12">
        <v>67.131100000000004</v>
      </c>
      <c r="R7" s="12"/>
    </row>
    <row r="8" spans="1:18" x14ac:dyDescent="0.25">
      <c r="A8" s="7">
        <v>53.371099999999998</v>
      </c>
      <c r="B8" s="7">
        <v>59.171100000000003</v>
      </c>
      <c r="C8" s="7"/>
      <c r="D8" s="8">
        <v>46.011099999999999</v>
      </c>
      <c r="E8" s="8">
        <v>48.851099999999903</v>
      </c>
      <c r="F8" s="8"/>
      <c r="G8" s="9">
        <v>69.211099999999902</v>
      </c>
      <c r="H8" s="9">
        <v>76.011099999999999</v>
      </c>
      <c r="I8" s="9"/>
      <c r="J8" s="10">
        <v>132.1711</v>
      </c>
      <c r="K8" s="10">
        <v>134.8511</v>
      </c>
      <c r="L8" s="10"/>
      <c r="M8" s="11">
        <v>69.931100000000001</v>
      </c>
      <c r="N8" s="11">
        <v>75.851100000000002</v>
      </c>
      <c r="O8" s="11"/>
      <c r="P8" s="12">
        <v>78.851100000000002</v>
      </c>
      <c r="Q8" s="12">
        <v>82.571100000000001</v>
      </c>
      <c r="R8" s="12"/>
    </row>
    <row r="9" spans="1:18" x14ac:dyDescent="0.25">
      <c r="A9" s="7">
        <v>63.531100000000002</v>
      </c>
      <c r="B9" s="7">
        <v>73.731099999999998</v>
      </c>
      <c r="C9" s="7"/>
      <c r="D9" s="8">
        <v>58.051099999999998</v>
      </c>
      <c r="E9" s="8">
        <v>64.851100000000002</v>
      </c>
      <c r="F9" s="8"/>
      <c r="G9" s="9">
        <v>76.051099999999906</v>
      </c>
      <c r="H9" s="9">
        <v>82.851100000000002</v>
      </c>
      <c r="I9" s="9"/>
      <c r="J9" s="10">
        <v>141.1311</v>
      </c>
      <c r="K9" s="10">
        <v>150.4511</v>
      </c>
      <c r="L9" s="10"/>
      <c r="M9" s="11">
        <v>78.611099999999993</v>
      </c>
      <c r="N9" s="11">
        <v>87.211099999999902</v>
      </c>
      <c r="O9" s="11"/>
      <c r="P9" s="12">
        <v>87.731099999999998</v>
      </c>
      <c r="Q9" s="12">
        <v>89.931100000000001</v>
      </c>
      <c r="R9" s="12"/>
    </row>
    <row r="10" spans="1:18" x14ac:dyDescent="0.25">
      <c r="A10" s="7">
        <v>73.771099999999905</v>
      </c>
      <c r="B10" s="7">
        <v>83.171099999999996</v>
      </c>
      <c r="C10" s="7"/>
      <c r="D10" s="8">
        <v>68.611099999999993</v>
      </c>
      <c r="E10" s="8">
        <v>70.851100000000002</v>
      </c>
      <c r="F10" s="8"/>
      <c r="G10" s="9">
        <v>99.091099999999997</v>
      </c>
      <c r="H10" s="9">
        <v>109.4111</v>
      </c>
      <c r="I10" s="9"/>
      <c r="J10" s="10">
        <v>189.69110000000001</v>
      </c>
      <c r="K10" s="10">
        <v>198.1311</v>
      </c>
      <c r="L10" s="10"/>
      <c r="M10" s="11">
        <v>89.371099999999998</v>
      </c>
      <c r="N10" s="11">
        <v>91.851100000000002</v>
      </c>
      <c r="O10" s="11"/>
      <c r="P10" s="12">
        <v>91.891099999999994</v>
      </c>
      <c r="Q10" s="12">
        <v>102.5311</v>
      </c>
      <c r="R10" s="12"/>
    </row>
    <row r="11" spans="1:18" x14ac:dyDescent="0.25">
      <c r="A11" s="7">
        <v>91.411100000000005</v>
      </c>
      <c r="B11" s="7">
        <v>95.171099999999996</v>
      </c>
      <c r="C11" s="7"/>
      <c r="D11" s="8">
        <v>78.971100000000007</v>
      </c>
      <c r="E11" s="8">
        <v>80.851100000000002</v>
      </c>
      <c r="F11" s="8"/>
      <c r="G11" s="9">
        <v>109.4511</v>
      </c>
      <c r="H11" s="9">
        <v>119.5711</v>
      </c>
      <c r="I11" s="9"/>
      <c r="J11" s="10">
        <v>199.37109999999899</v>
      </c>
      <c r="K11" s="10">
        <v>200.8511</v>
      </c>
      <c r="L11" s="10"/>
      <c r="M11" s="11">
        <v>106.4511</v>
      </c>
      <c r="N11" s="11">
        <v>109.97110000000001</v>
      </c>
      <c r="O11" s="11"/>
      <c r="P11" s="12">
        <v>102.5711</v>
      </c>
      <c r="Q11" s="12">
        <v>112.8511</v>
      </c>
      <c r="R11" s="12"/>
    </row>
    <row r="12" spans="1:18" x14ac:dyDescent="0.25">
      <c r="A12" s="7">
        <v>105.0111</v>
      </c>
      <c r="B12" s="7">
        <v>106.1711</v>
      </c>
      <c r="C12" s="7"/>
      <c r="D12" s="8">
        <v>86.211099999999902</v>
      </c>
      <c r="E12" s="8">
        <v>88.851100000000002</v>
      </c>
      <c r="F12" s="8"/>
      <c r="G12" s="9">
        <v>119.61109999999999</v>
      </c>
      <c r="H12" s="9">
        <v>128.8511</v>
      </c>
      <c r="I12" s="9"/>
      <c r="J12" s="10">
        <v>228.89109999999999</v>
      </c>
      <c r="K12" s="10">
        <v>236.4111</v>
      </c>
      <c r="L12" s="10"/>
      <c r="M12" s="11">
        <v>123.93109999999901</v>
      </c>
      <c r="N12" s="11">
        <v>129.1311</v>
      </c>
      <c r="O12" s="11"/>
      <c r="P12" s="12">
        <v>134.61109999999999</v>
      </c>
      <c r="Q12" s="12">
        <v>141.25110000000001</v>
      </c>
      <c r="R12" s="12"/>
    </row>
    <row r="13" spans="1:18" x14ac:dyDescent="0.25">
      <c r="A13" s="7">
        <v>110.21109999999901</v>
      </c>
      <c r="B13" s="7">
        <v>112.5711</v>
      </c>
      <c r="C13" s="7"/>
      <c r="D13" s="8">
        <v>91.091099999999997</v>
      </c>
      <c r="E13" s="8">
        <v>99.971100000000007</v>
      </c>
      <c r="F13" s="8"/>
      <c r="G13" s="9">
        <v>130.89109999999999</v>
      </c>
      <c r="H13" s="9">
        <v>131.8511</v>
      </c>
      <c r="I13" s="9"/>
      <c r="J13" s="10">
        <v>236.4511</v>
      </c>
      <c r="K13" s="10">
        <v>245.53109999999899</v>
      </c>
      <c r="L13" s="10"/>
      <c r="M13" s="11">
        <v>139.4511</v>
      </c>
      <c r="N13" s="11">
        <v>142.8511</v>
      </c>
      <c r="O13" s="11"/>
      <c r="P13" s="12">
        <v>143.97110000000001</v>
      </c>
      <c r="Q13" s="12">
        <v>145.25110000000001</v>
      </c>
      <c r="R13" s="12"/>
    </row>
    <row r="14" spans="1:18" x14ac:dyDescent="0.25">
      <c r="A14" s="7">
        <v>127.331099999999</v>
      </c>
      <c r="B14" s="7">
        <v>131.1711</v>
      </c>
      <c r="C14" s="7"/>
      <c r="D14" s="8">
        <v>100.0111</v>
      </c>
      <c r="E14" s="8">
        <v>108.8511</v>
      </c>
      <c r="F14" s="8"/>
      <c r="G14" s="9">
        <v>136.89109999999999</v>
      </c>
      <c r="H14" s="9">
        <v>137.97110000000001</v>
      </c>
      <c r="I14" s="9"/>
      <c r="J14" s="10">
        <v>255.25110000000001</v>
      </c>
      <c r="K14" s="10">
        <v>263.41109999999998</v>
      </c>
      <c r="L14" s="10"/>
      <c r="M14" s="11">
        <v>152.89109999999999</v>
      </c>
      <c r="N14" s="11">
        <v>154.8511</v>
      </c>
      <c r="O14" s="11"/>
      <c r="P14" s="12">
        <v>151.1711</v>
      </c>
      <c r="Q14" s="12">
        <v>153.81109999999899</v>
      </c>
      <c r="R14" s="12"/>
    </row>
    <row r="15" spans="1:18" x14ac:dyDescent="0.25">
      <c r="A15" s="7">
        <v>153.8511</v>
      </c>
      <c r="B15" s="7">
        <v>158.1711</v>
      </c>
      <c r="C15" s="7"/>
      <c r="D15" s="8">
        <v>116.89109999999999</v>
      </c>
      <c r="E15" s="8">
        <v>122.371099999999</v>
      </c>
      <c r="F15" s="8"/>
      <c r="G15" s="9">
        <v>148.0111</v>
      </c>
      <c r="H15" s="9">
        <v>156.8511</v>
      </c>
      <c r="I15" s="9"/>
      <c r="J15" s="10">
        <v>263.4511</v>
      </c>
      <c r="K15" s="10">
        <v>271.61110000000002</v>
      </c>
      <c r="L15" s="10"/>
      <c r="M15" s="11">
        <v>159.25110000000001</v>
      </c>
      <c r="N15" s="11">
        <v>161.8511</v>
      </c>
      <c r="O15" s="11"/>
      <c r="P15" s="12">
        <v>155.1711</v>
      </c>
      <c r="Q15" s="12">
        <v>157.25110000000001</v>
      </c>
      <c r="R15" s="12"/>
    </row>
    <row r="16" spans="1:18" x14ac:dyDescent="0.25">
      <c r="A16" s="7">
        <v>168.53109999999899</v>
      </c>
      <c r="B16" s="7">
        <v>177.1711</v>
      </c>
      <c r="C16" s="7"/>
      <c r="D16" s="8">
        <v>122.4111</v>
      </c>
      <c r="E16" s="8">
        <v>127.8511</v>
      </c>
      <c r="F16" s="8"/>
      <c r="G16" s="9">
        <v>158.5711</v>
      </c>
      <c r="H16" s="9">
        <v>164.61109999999999</v>
      </c>
      <c r="I16" s="9"/>
      <c r="J16" s="10">
        <v>271.65109999999999</v>
      </c>
      <c r="K16" s="10">
        <v>280.85109999999997</v>
      </c>
      <c r="L16" s="10"/>
      <c r="M16" s="11">
        <v>166.89109999999999</v>
      </c>
      <c r="N16" s="11">
        <v>167.93109999999999</v>
      </c>
      <c r="O16" s="11"/>
      <c r="P16" s="12">
        <v>160.69110000000001</v>
      </c>
      <c r="Q16" s="12">
        <v>170.89109999999999</v>
      </c>
      <c r="R16" s="12"/>
    </row>
    <row r="17" spans="1:18" x14ac:dyDescent="0.25">
      <c r="A17" s="7">
        <v>177.21109999999999</v>
      </c>
      <c r="B17" s="7">
        <v>185.21109999999999</v>
      </c>
      <c r="C17" s="7"/>
      <c r="D17" s="8">
        <v>130.49109999999999</v>
      </c>
      <c r="E17" s="8">
        <v>137.93109999999999</v>
      </c>
      <c r="F17" s="8"/>
      <c r="G17" s="9">
        <v>166.05109999999999</v>
      </c>
      <c r="H17" s="9">
        <v>175.1711</v>
      </c>
      <c r="I17" s="9"/>
      <c r="J17" s="10">
        <v>312.89109999999999</v>
      </c>
      <c r="K17" s="10">
        <v>313.85109999999997</v>
      </c>
      <c r="L17" s="10"/>
      <c r="M17" s="11">
        <v>171.77109999999999</v>
      </c>
      <c r="N17" s="11">
        <v>178.09109999999899</v>
      </c>
      <c r="O17" s="11"/>
      <c r="P17" s="12">
        <v>186.93109999999999</v>
      </c>
      <c r="Q17" s="12">
        <v>190.89109999999999</v>
      </c>
      <c r="R17" s="12"/>
    </row>
    <row r="18" spans="1:18" x14ac:dyDescent="0.25">
      <c r="A18" s="7">
        <v>185.25110000000001</v>
      </c>
      <c r="B18" s="7">
        <v>193.25110000000001</v>
      </c>
      <c r="C18" s="7"/>
      <c r="D18" s="8">
        <v>137.97110000000001</v>
      </c>
      <c r="E18" s="8">
        <v>145.4111</v>
      </c>
      <c r="F18" s="8"/>
      <c r="G18" s="9">
        <v>175.21109999999999</v>
      </c>
      <c r="H18" s="9">
        <v>184.8511</v>
      </c>
      <c r="I18" s="9"/>
      <c r="J18" s="10">
        <v>331.85109999999997</v>
      </c>
      <c r="K18" s="10">
        <v>334.85109999999997</v>
      </c>
      <c r="L18" s="10"/>
      <c r="M18" s="11">
        <v>180.89109999999999</v>
      </c>
      <c r="N18" s="11">
        <v>188.33109999999999</v>
      </c>
      <c r="O18" s="11"/>
      <c r="P18" s="12">
        <v>210.89109999999999</v>
      </c>
      <c r="Q18" s="12">
        <v>212.89109999999999</v>
      </c>
      <c r="R18" s="12"/>
    </row>
    <row r="19" spans="1:18" x14ac:dyDescent="0.25">
      <c r="A19" s="7">
        <v>193.2911</v>
      </c>
      <c r="B19" s="7">
        <v>201.2911</v>
      </c>
      <c r="C19" s="7"/>
      <c r="D19" s="8">
        <v>145.4511</v>
      </c>
      <c r="E19" s="8">
        <v>152.8511</v>
      </c>
      <c r="F19" s="8"/>
      <c r="G19" s="9">
        <v>186.37109999999899</v>
      </c>
      <c r="H19" s="9">
        <v>189.2911</v>
      </c>
      <c r="I19" s="9"/>
      <c r="J19" s="10">
        <v>339.0111</v>
      </c>
      <c r="K19" s="10">
        <v>340.85109999999997</v>
      </c>
      <c r="L19" s="10"/>
      <c r="M19" s="11">
        <v>188.37109999999899</v>
      </c>
      <c r="N19" s="11">
        <v>196.8511</v>
      </c>
      <c r="O19" s="11"/>
      <c r="P19" s="12">
        <v>216.25110000000001</v>
      </c>
      <c r="Q19" s="12">
        <v>218.89109999999999</v>
      </c>
      <c r="R19" s="12"/>
    </row>
    <row r="20" spans="1:18" x14ac:dyDescent="0.25">
      <c r="A20" s="7">
        <v>201.33109999999999</v>
      </c>
      <c r="B20" s="7">
        <v>209.1711</v>
      </c>
      <c r="C20" s="7"/>
      <c r="D20" s="8">
        <v>155.4111</v>
      </c>
      <c r="E20" s="8">
        <v>162.53109999999899</v>
      </c>
      <c r="F20" s="8"/>
      <c r="G20" s="9">
        <v>196.89109999999999</v>
      </c>
      <c r="H20" s="9">
        <v>198.2911</v>
      </c>
      <c r="I20" s="9"/>
      <c r="J20" s="10">
        <v>360.171099999999</v>
      </c>
      <c r="K20" s="10">
        <v>362.85109999999997</v>
      </c>
      <c r="L20" s="10"/>
      <c r="M20" s="11">
        <v>202.89109999999999</v>
      </c>
      <c r="N20" s="11">
        <v>204.8511</v>
      </c>
      <c r="O20" s="11"/>
      <c r="P20" s="12">
        <v>227.93109999999999</v>
      </c>
      <c r="Q20" s="12">
        <v>228.89109999999999</v>
      </c>
      <c r="R20" s="12"/>
    </row>
    <row r="23" spans="1:18" ht="18.75" x14ac:dyDescent="0.3">
      <c r="A23" s="16" t="s">
        <v>6</v>
      </c>
      <c r="B23" s="13"/>
      <c r="C23" s="13"/>
    </row>
    <row r="24" spans="1:18" x14ac:dyDescent="0.25">
      <c r="A24" s="13" t="s">
        <v>8</v>
      </c>
      <c r="B24" s="13" t="s">
        <v>9</v>
      </c>
      <c r="C24" s="13" t="s">
        <v>7</v>
      </c>
      <c r="D24" s="13" t="s">
        <v>8</v>
      </c>
      <c r="E24" s="13" t="s">
        <v>9</v>
      </c>
      <c r="F24" s="13" t="s">
        <v>7</v>
      </c>
      <c r="G24" s="13" t="s">
        <v>8</v>
      </c>
      <c r="H24" s="13" t="s">
        <v>9</v>
      </c>
      <c r="I24" s="13" t="s">
        <v>7</v>
      </c>
      <c r="J24" s="13" t="s">
        <v>8</v>
      </c>
      <c r="K24" s="13" t="s">
        <v>9</v>
      </c>
      <c r="L24" s="13" t="s">
        <v>7</v>
      </c>
      <c r="M24" s="13" t="s">
        <v>8</v>
      </c>
      <c r="N24" s="13" t="s">
        <v>9</v>
      </c>
      <c r="O24" s="13" t="s">
        <v>7</v>
      </c>
      <c r="P24" s="13" t="s">
        <v>8</v>
      </c>
      <c r="Q24" s="13" t="s">
        <v>9</v>
      </c>
      <c r="R24" s="13" t="s">
        <v>7</v>
      </c>
    </row>
    <row r="25" spans="1:18" x14ac:dyDescent="0.25">
      <c r="A25" s="15">
        <v>3.6511</v>
      </c>
      <c r="B25" s="15">
        <v>59.171100000000003</v>
      </c>
      <c r="C25" s="15">
        <f>B25-A25</f>
        <v>55.52</v>
      </c>
      <c r="D25" s="8">
        <v>2.2911000000000001</v>
      </c>
      <c r="E25" s="8">
        <v>10.851100000000001</v>
      </c>
      <c r="F25" s="8">
        <f>E25-D25</f>
        <v>8.56</v>
      </c>
      <c r="G25" s="9">
        <v>0.891100000000001</v>
      </c>
      <c r="H25" s="9">
        <v>1.8511</v>
      </c>
      <c r="I25" s="9">
        <f>H25-G25</f>
        <v>0.95999999999999897</v>
      </c>
      <c r="J25" s="10">
        <v>3.3711000000000002</v>
      </c>
      <c r="K25" s="10">
        <v>8.8511000000000006</v>
      </c>
      <c r="L25" s="10">
        <f>K25-J25</f>
        <v>5.48</v>
      </c>
      <c r="M25" s="11">
        <v>5.8910999999999998</v>
      </c>
      <c r="N25" s="11">
        <v>6.8510999999999997</v>
      </c>
      <c r="O25" s="11">
        <f>N25-M25</f>
        <v>0.96</v>
      </c>
      <c r="P25" s="12">
        <v>6.6910999999999996</v>
      </c>
      <c r="Q25" s="12">
        <v>31.851099999999999</v>
      </c>
      <c r="R25" s="12">
        <f>Q25-P25</f>
        <v>25.16</v>
      </c>
    </row>
    <row r="26" spans="1:18" x14ac:dyDescent="0.25">
      <c r="A26" s="15">
        <v>63.531100000000002</v>
      </c>
      <c r="B26" s="15">
        <v>83.171099999999996</v>
      </c>
      <c r="C26" s="15">
        <f t="shared" ref="C26:C41" si="0">B26-A26</f>
        <v>19.639999999999993</v>
      </c>
      <c r="D26" s="8">
        <v>15.9711</v>
      </c>
      <c r="E26" s="8">
        <v>20.851099999999999</v>
      </c>
      <c r="F26" s="8">
        <f t="shared" ref="F26:F50" si="1">E26-D26</f>
        <v>4.879999999999999</v>
      </c>
      <c r="G26" s="9">
        <v>9.9710999999999999</v>
      </c>
      <c r="H26" s="9">
        <v>20.851099999999999</v>
      </c>
      <c r="I26" s="9">
        <f t="shared" ref="I26:I41" si="2">H26-G26</f>
        <v>10.879999999999999</v>
      </c>
      <c r="J26" s="10">
        <v>13.331099999999999</v>
      </c>
      <c r="K26" s="10">
        <v>28.851099999999999</v>
      </c>
      <c r="L26" s="10">
        <f t="shared" ref="L26:L37" si="3">K26-J26</f>
        <v>15.52</v>
      </c>
      <c r="M26" s="11">
        <v>13.4511</v>
      </c>
      <c r="N26" s="11">
        <v>15.5311</v>
      </c>
      <c r="O26" s="11">
        <f t="shared" ref="O26:O55" si="4">N26-M26</f>
        <v>2.08</v>
      </c>
      <c r="P26" s="12">
        <v>38.2911</v>
      </c>
      <c r="Q26" s="12">
        <v>43.2911</v>
      </c>
      <c r="R26" s="12">
        <f t="shared" ref="R26:R48" si="5">Q26-P26</f>
        <v>5</v>
      </c>
    </row>
    <row r="27" spans="1:18" x14ac:dyDescent="0.25">
      <c r="A27" s="15">
        <v>91.411100000000005</v>
      </c>
      <c r="B27" s="15">
        <v>95.171099999999996</v>
      </c>
      <c r="C27" s="15">
        <f t="shared" si="0"/>
        <v>3.7599999999999909</v>
      </c>
      <c r="D27" s="8">
        <v>25.771100000000001</v>
      </c>
      <c r="E27" s="8">
        <v>28.851099999999999</v>
      </c>
      <c r="F27" s="8">
        <f t="shared" si="1"/>
        <v>3.0799999999999983</v>
      </c>
      <c r="G27" s="9">
        <v>32.891100000000002</v>
      </c>
      <c r="H27" s="9">
        <v>82.851100000000002</v>
      </c>
      <c r="I27" s="9">
        <f t="shared" si="2"/>
        <v>49.96</v>
      </c>
      <c r="J27" s="10">
        <v>82.451099999999997</v>
      </c>
      <c r="K27" s="10">
        <v>98.851100000000002</v>
      </c>
      <c r="L27" s="10">
        <f t="shared" si="3"/>
        <v>16.400000000000006</v>
      </c>
      <c r="M27" s="11">
        <v>27.371099999999998</v>
      </c>
      <c r="N27" s="11">
        <v>28.851099999999999</v>
      </c>
      <c r="O27" s="11">
        <f t="shared" si="4"/>
        <v>1.4800000000000004</v>
      </c>
      <c r="P27" s="12">
        <v>52.371099999999998</v>
      </c>
      <c r="Q27" s="12">
        <v>56.851099999999903</v>
      </c>
      <c r="R27" s="12">
        <f t="shared" si="5"/>
        <v>4.4799999999999045</v>
      </c>
    </row>
    <row r="28" spans="1:18" x14ac:dyDescent="0.25">
      <c r="A28" s="15">
        <v>105.0111</v>
      </c>
      <c r="B28" s="15">
        <v>106.1711</v>
      </c>
      <c r="C28" s="15">
        <f t="shared" si="0"/>
        <v>1.1599999999999966</v>
      </c>
      <c r="D28" s="8">
        <v>38.691099999999999</v>
      </c>
      <c r="E28" s="8">
        <v>40.851100000000002</v>
      </c>
      <c r="F28" s="8">
        <f t="shared" si="1"/>
        <v>2.1600000000000037</v>
      </c>
      <c r="G28" s="9">
        <v>99.091099999999997</v>
      </c>
      <c r="H28" s="9">
        <v>128.8511</v>
      </c>
      <c r="I28" s="9">
        <f t="shared" si="2"/>
        <v>29.760000000000005</v>
      </c>
      <c r="J28" s="10">
        <v>104.1311</v>
      </c>
      <c r="K28" s="10">
        <v>105.9311</v>
      </c>
      <c r="L28" s="10">
        <f t="shared" si="3"/>
        <v>1.7999999999999972</v>
      </c>
      <c r="M28" s="11">
        <v>32.2911</v>
      </c>
      <c r="N28" s="11">
        <v>37.851100000000002</v>
      </c>
      <c r="O28" s="11">
        <f t="shared" si="4"/>
        <v>5.5600000000000023</v>
      </c>
      <c r="P28" s="12">
        <v>61.251100000000001</v>
      </c>
      <c r="Q28" s="12">
        <v>67.131100000000004</v>
      </c>
      <c r="R28" s="12">
        <f t="shared" si="5"/>
        <v>5.8800000000000026</v>
      </c>
    </row>
    <row r="29" spans="1:18" x14ac:dyDescent="0.25">
      <c r="A29" s="15">
        <v>110.21109999999901</v>
      </c>
      <c r="B29" s="15">
        <v>112.5711</v>
      </c>
      <c r="C29" s="15">
        <f t="shared" si="0"/>
        <v>2.3600000000009942</v>
      </c>
      <c r="D29" s="8">
        <v>46.011099999999999</v>
      </c>
      <c r="E29" s="8">
        <v>48.851099999999903</v>
      </c>
      <c r="F29" s="8">
        <f t="shared" si="1"/>
        <v>2.8399999999999039</v>
      </c>
      <c r="G29" s="9">
        <v>130.89109999999999</v>
      </c>
      <c r="H29" s="9">
        <v>131.8511</v>
      </c>
      <c r="I29" s="9">
        <f t="shared" si="2"/>
        <v>0.96000000000000796</v>
      </c>
      <c r="J29" s="10">
        <v>132.1711</v>
      </c>
      <c r="K29" s="10">
        <v>134.8511</v>
      </c>
      <c r="L29" s="10">
        <f t="shared" si="3"/>
        <v>2.6800000000000068</v>
      </c>
      <c r="M29" s="11">
        <v>62.211099999999902</v>
      </c>
      <c r="N29" s="11">
        <v>67.851100000000002</v>
      </c>
      <c r="O29" s="11">
        <f t="shared" si="4"/>
        <v>5.6400000000001</v>
      </c>
      <c r="P29" s="12">
        <v>78.851100000000002</v>
      </c>
      <c r="Q29" s="12">
        <v>82.571100000000001</v>
      </c>
      <c r="R29" s="12">
        <f t="shared" si="5"/>
        <v>3.7199999999999989</v>
      </c>
    </row>
    <row r="30" spans="1:18" x14ac:dyDescent="0.25">
      <c r="A30" s="15">
        <v>127.331099999999</v>
      </c>
      <c r="B30" s="15">
        <v>131.1711</v>
      </c>
      <c r="C30" s="15">
        <f t="shared" si="0"/>
        <v>3.8400000000009982</v>
      </c>
      <c r="D30" s="8">
        <v>58.051099999999998</v>
      </c>
      <c r="E30" s="8">
        <v>64.851100000000002</v>
      </c>
      <c r="F30" s="8">
        <f t="shared" si="1"/>
        <v>6.8000000000000043</v>
      </c>
      <c r="G30" s="9">
        <v>136.89109999999999</v>
      </c>
      <c r="H30" s="9">
        <v>137.97110000000001</v>
      </c>
      <c r="I30" s="9">
        <f t="shared" si="2"/>
        <v>1.0800000000000125</v>
      </c>
      <c r="J30" s="10">
        <v>141.1311</v>
      </c>
      <c r="K30" s="10">
        <v>150.4511</v>
      </c>
      <c r="L30" s="10">
        <f t="shared" si="3"/>
        <v>9.3199999999999932</v>
      </c>
      <c r="M30" s="11">
        <v>69.931100000000001</v>
      </c>
      <c r="N30" s="11">
        <v>75.851100000000002</v>
      </c>
      <c r="O30" s="11">
        <f t="shared" si="4"/>
        <v>5.9200000000000017</v>
      </c>
      <c r="P30" s="12">
        <v>87.731099999999998</v>
      </c>
      <c r="Q30" s="12">
        <v>112.8511</v>
      </c>
      <c r="R30" s="12">
        <f t="shared" si="5"/>
        <v>25.120000000000005</v>
      </c>
    </row>
    <row r="31" spans="1:18" x14ac:dyDescent="0.25">
      <c r="A31" s="15">
        <v>153.8511</v>
      </c>
      <c r="B31" s="15">
        <v>158.1711</v>
      </c>
      <c r="C31" s="15">
        <f t="shared" si="0"/>
        <v>4.3199999999999932</v>
      </c>
      <c r="D31" s="8">
        <v>68.611099999999993</v>
      </c>
      <c r="E31" s="8">
        <v>70.851100000000002</v>
      </c>
      <c r="F31" s="8">
        <f t="shared" si="1"/>
        <v>2.2400000000000091</v>
      </c>
      <c r="G31" s="9">
        <v>148.0111</v>
      </c>
      <c r="H31" s="9">
        <v>189.2911</v>
      </c>
      <c r="I31" s="9">
        <f t="shared" si="2"/>
        <v>41.28</v>
      </c>
      <c r="J31" s="10">
        <v>189.69110000000001</v>
      </c>
      <c r="K31" s="10">
        <v>200.8511</v>
      </c>
      <c r="L31" s="10">
        <f t="shared" si="3"/>
        <v>11.159999999999997</v>
      </c>
      <c r="M31" s="11">
        <v>78.611099999999993</v>
      </c>
      <c r="N31" s="11">
        <v>87.211099999999902</v>
      </c>
      <c r="O31" s="11">
        <f t="shared" si="4"/>
        <v>8.5999999999999091</v>
      </c>
      <c r="P31" s="12">
        <v>134.61109999999999</v>
      </c>
      <c r="Q31" s="12">
        <v>141.25110000000001</v>
      </c>
      <c r="R31" s="12">
        <f t="shared" si="5"/>
        <v>6.6400000000000148</v>
      </c>
    </row>
    <row r="32" spans="1:18" x14ac:dyDescent="0.25">
      <c r="A32" s="15">
        <v>168.53109999999899</v>
      </c>
      <c r="B32" s="15">
        <v>209.1711</v>
      </c>
      <c r="C32" s="15">
        <f t="shared" si="0"/>
        <v>40.64000000000101</v>
      </c>
      <c r="D32" s="8">
        <v>78.971100000000007</v>
      </c>
      <c r="E32" s="8">
        <v>80.851100000000002</v>
      </c>
      <c r="F32" s="8">
        <f t="shared" si="1"/>
        <v>1.8799999999999955</v>
      </c>
      <c r="G32" s="9">
        <v>196.89109999999999</v>
      </c>
      <c r="H32" s="9">
        <v>198.2911</v>
      </c>
      <c r="I32" s="9">
        <f t="shared" si="2"/>
        <v>1.4000000000000057</v>
      </c>
      <c r="J32" s="10">
        <v>228.89109999999999</v>
      </c>
      <c r="K32" s="10">
        <v>245.53109999999899</v>
      </c>
      <c r="L32" s="10">
        <f t="shared" si="3"/>
        <v>16.639999999998992</v>
      </c>
      <c r="M32" s="11">
        <v>89.371099999999998</v>
      </c>
      <c r="N32" s="11">
        <v>91.851100000000002</v>
      </c>
      <c r="O32" s="11">
        <f t="shared" si="4"/>
        <v>2.480000000000004</v>
      </c>
      <c r="P32" s="12">
        <v>143.97110000000001</v>
      </c>
      <c r="Q32" s="12">
        <v>145.25110000000001</v>
      </c>
      <c r="R32" s="12">
        <f t="shared" si="5"/>
        <v>1.2800000000000011</v>
      </c>
    </row>
    <row r="33" spans="1:18" x14ac:dyDescent="0.25">
      <c r="A33" s="15">
        <v>211.61109999999999</v>
      </c>
      <c r="B33" s="15">
        <v>231.1711</v>
      </c>
      <c r="C33" s="15">
        <f t="shared" si="0"/>
        <v>19.560000000000002</v>
      </c>
      <c r="D33" s="8">
        <v>86.211099999999902</v>
      </c>
      <c r="E33" s="8">
        <v>88.851100000000002</v>
      </c>
      <c r="F33" s="8">
        <f t="shared" si="1"/>
        <v>2.6400000000001</v>
      </c>
      <c r="G33" s="9">
        <v>202.89109999999999</v>
      </c>
      <c r="H33" s="9">
        <v>222.25110000000001</v>
      </c>
      <c r="I33" s="9">
        <f t="shared" si="2"/>
        <v>19.360000000000014</v>
      </c>
      <c r="J33" s="10">
        <v>255.25110000000001</v>
      </c>
      <c r="K33" s="10">
        <v>280.85109999999997</v>
      </c>
      <c r="L33" s="10">
        <f t="shared" si="3"/>
        <v>25.599999999999966</v>
      </c>
      <c r="M33" s="11">
        <v>106.4511</v>
      </c>
      <c r="N33" s="11">
        <v>109.97110000000001</v>
      </c>
      <c r="O33" s="11">
        <f t="shared" si="4"/>
        <v>3.5200000000000102</v>
      </c>
      <c r="P33" s="12">
        <v>151.1711</v>
      </c>
      <c r="Q33" s="12">
        <v>157.25110000000001</v>
      </c>
      <c r="R33" s="12">
        <f t="shared" si="5"/>
        <v>6.0800000000000125</v>
      </c>
    </row>
    <row r="34" spans="1:18" x14ac:dyDescent="0.25">
      <c r="A34" s="15">
        <v>233.21109999999999</v>
      </c>
      <c r="B34" s="15">
        <v>251.171099999999</v>
      </c>
      <c r="C34" s="15">
        <f t="shared" si="0"/>
        <v>17.959999999999013</v>
      </c>
      <c r="D34" s="8">
        <v>91.091099999999997</v>
      </c>
      <c r="E34" s="8">
        <v>108.8511</v>
      </c>
      <c r="F34" s="8">
        <f t="shared" si="1"/>
        <v>17.760000000000005</v>
      </c>
      <c r="G34" s="9">
        <v>224.4511</v>
      </c>
      <c r="H34" s="9">
        <v>226.8511</v>
      </c>
      <c r="I34" s="9">
        <f t="shared" si="2"/>
        <v>2.4000000000000057</v>
      </c>
      <c r="J34" s="10">
        <v>312.89109999999999</v>
      </c>
      <c r="K34" s="10">
        <v>313.85109999999997</v>
      </c>
      <c r="L34" s="10">
        <f t="shared" si="3"/>
        <v>0.95999999999997954</v>
      </c>
      <c r="M34" s="11">
        <v>123.93109999999901</v>
      </c>
      <c r="N34" s="11">
        <v>129.1311</v>
      </c>
      <c r="O34" s="11">
        <f t="shared" si="4"/>
        <v>5.2000000000009976</v>
      </c>
      <c r="P34" s="12">
        <v>160.69110000000001</v>
      </c>
      <c r="Q34" s="12">
        <v>170.89109999999999</v>
      </c>
      <c r="R34" s="12">
        <f t="shared" si="5"/>
        <v>10.199999999999989</v>
      </c>
    </row>
    <row r="35" spans="1:18" x14ac:dyDescent="0.25">
      <c r="A35" s="15">
        <v>255.09109999999899</v>
      </c>
      <c r="B35" s="15">
        <v>266.171099999999</v>
      </c>
      <c r="C35" s="15">
        <f t="shared" si="0"/>
        <v>11.080000000000013</v>
      </c>
      <c r="D35" s="8">
        <v>116.89109999999999</v>
      </c>
      <c r="E35" s="8">
        <v>127.8511</v>
      </c>
      <c r="F35" s="8">
        <f t="shared" si="1"/>
        <v>10.960000000000008</v>
      </c>
      <c r="G35" s="9">
        <v>238.171099999999</v>
      </c>
      <c r="H35" s="9">
        <v>239.85109999999901</v>
      </c>
      <c r="I35" s="9">
        <f t="shared" si="2"/>
        <v>1.6800000000000068</v>
      </c>
      <c r="J35" s="10">
        <v>331.85109999999997</v>
      </c>
      <c r="K35" s="10">
        <v>334.85109999999997</v>
      </c>
      <c r="L35" s="10">
        <f t="shared" si="3"/>
        <v>3</v>
      </c>
      <c r="M35" s="11">
        <v>139.4511</v>
      </c>
      <c r="N35" s="11">
        <v>142.8511</v>
      </c>
      <c r="O35" s="11">
        <f t="shared" si="4"/>
        <v>3.4000000000000057</v>
      </c>
      <c r="P35" s="12">
        <v>186.93109999999999</v>
      </c>
      <c r="Q35" s="12">
        <v>190.89109999999999</v>
      </c>
      <c r="R35" s="12">
        <f t="shared" si="5"/>
        <v>3.960000000000008</v>
      </c>
    </row>
    <row r="36" spans="1:18" x14ac:dyDescent="0.25">
      <c r="A36" s="15">
        <v>269.33109999999999</v>
      </c>
      <c r="B36" s="15">
        <v>273.171099999999</v>
      </c>
      <c r="C36" s="15">
        <f t="shared" si="0"/>
        <v>3.8399999999990087</v>
      </c>
      <c r="D36" s="8">
        <v>130.49109999999999</v>
      </c>
      <c r="E36" s="8">
        <v>152.8511</v>
      </c>
      <c r="F36" s="8">
        <f t="shared" si="1"/>
        <v>22.360000000000014</v>
      </c>
      <c r="G36" s="9">
        <v>244.89109999999999</v>
      </c>
      <c r="H36" s="9">
        <v>255.4511</v>
      </c>
      <c r="I36" s="9">
        <f t="shared" si="2"/>
        <v>10.560000000000002</v>
      </c>
      <c r="J36" s="10">
        <v>339.0111</v>
      </c>
      <c r="K36" s="10">
        <v>340.85109999999997</v>
      </c>
      <c r="L36" s="10">
        <f t="shared" si="3"/>
        <v>1.839999999999975</v>
      </c>
      <c r="M36" s="11">
        <v>152.89109999999999</v>
      </c>
      <c r="N36" s="11">
        <v>154.8511</v>
      </c>
      <c r="O36" s="11">
        <f t="shared" si="4"/>
        <v>1.960000000000008</v>
      </c>
      <c r="P36" s="12">
        <v>210.89109999999999</v>
      </c>
      <c r="Q36" s="12">
        <v>212.89109999999999</v>
      </c>
      <c r="R36" s="12">
        <f t="shared" si="5"/>
        <v>2</v>
      </c>
    </row>
    <row r="37" spans="1:18" x14ac:dyDescent="0.25">
      <c r="A37" s="15">
        <v>280.85109999999997</v>
      </c>
      <c r="B37" s="15">
        <v>309.171099999999</v>
      </c>
      <c r="C37" s="15">
        <f t="shared" si="0"/>
        <v>28.319999999999027</v>
      </c>
      <c r="D37" s="8">
        <v>155.4111</v>
      </c>
      <c r="E37" s="8">
        <v>177.8511</v>
      </c>
      <c r="F37" s="8">
        <f t="shared" si="1"/>
        <v>22.439999999999998</v>
      </c>
      <c r="G37" s="9">
        <v>277.25110000000001</v>
      </c>
      <c r="H37" s="9">
        <v>278.85109999999997</v>
      </c>
      <c r="I37" s="9">
        <f t="shared" si="2"/>
        <v>1.5999999999999659</v>
      </c>
      <c r="J37" s="10">
        <v>360.171099999999</v>
      </c>
      <c r="K37" s="10">
        <v>362.85109999999997</v>
      </c>
      <c r="L37" s="10">
        <f t="shared" si="3"/>
        <v>2.6800000000009732</v>
      </c>
      <c r="M37" s="11">
        <v>159.25110000000001</v>
      </c>
      <c r="N37" s="11">
        <v>161.8511</v>
      </c>
      <c r="O37" s="11">
        <f t="shared" si="4"/>
        <v>2.5999999999999943</v>
      </c>
      <c r="P37" s="12">
        <v>216.25110000000001</v>
      </c>
      <c r="Q37" s="12">
        <v>218.89109999999999</v>
      </c>
      <c r="R37" s="12">
        <f t="shared" si="5"/>
        <v>2.6399999999999864</v>
      </c>
    </row>
    <row r="38" spans="1:18" x14ac:dyDescent="0.25">
      <c r="A38" s="15">
        <v>312.61110000000002</v>
      </c>
      <c r="B38" s="15">
        <v>318.85109999999997</v>
      </c>
      <c r="C38" s="15">
        <f t="shared" si="0"/>
        <v>6.2399999999999523</v>
      </c>
      <c r="D38" s="8">
        <v>185.77109999999999</v>
      </c>
      <c r="E38" s="8">
        <v>187.8511</v>
      </c>
      <c r="F38" s="8">
        <f t="shared" si="1"/>
        <v>2.0800000000000125</v>
      </c>
      <c r="G38" s="9">
        <v>283.09109999999998</v>
      </c>
      <c r="H38" s="9">
        <v>308.85109999999997</v>
      </c>
      <c r="I38" s="9">
        <f t="shared" si="2"/>
        <v>25.759999999999991</v>
      </c>
      <c r="M38" s="11">
        <v>166.89109999999999</v>
      </c>
      <c r="N38" s="11">
        <v>167.93109999999999</v>
      </c>
      <c r="O38" s="11">
        <f t="shared" si="4"/>
        <v>1.039999999999992</v>
      </c>
      <c r="P38" s="12">
        <v>227.93109999999999</v>
      </c>
      <c r="Q38" s="12">
        <v>228.89109999999999</v>
      </c>
      <c r="R38" s="12">
        <f t="shared" si="5"/>
        <v>0.96000000000000796</v>
      </c>
    </row>
    <row r="39" spans="1:18" x14ac:dyDescent="0.25">
      <c r="A39" s="15">
        <v>325.171099999999</v>
      </c>
      <c r="B39" s="15">
        <v>326.171099999999</v>
      </c>
      <c r="C39" s="15">
        <f t="shared" si="0"/>
        <v>1</v>
      </c>
      <c r="D39" s="8">
        <v>194.2911</v>
      </c>
      <c r="E39" s="8">
        <v>195.8511</v>
      </c>
      <c r="F39" s="8">
        <f t="shared" si="1"/>
        <v>1.5600000000000023</v>
      </c>
      <c r="G39" s="9">
        <v>311.69110000000001</v>
      </c>
      <c r="H39" s="9">
        <v>328.53109999999998</v>
      </c>
      <c r="I39" s="9">
        <f t="shared" si="2"/>
        <v>16.839999999999975</v>
      </c>
      <c r="M39" s="11">
        <v>171.77109999999999</v>
      </c>
      <c r="N39" s="11">
        <v>178.09109999999899</v>
      </c>
      <c r="O39" s="11">
        <f t="shared" si="4"/>
        <v>6.3199999999989984</v>
      </c>
      <c r="P39" s="12">
        <v>237.37110000000001</v>
      </c>
      <c r="Q39" s="12">
        <v>252.5711</v>
      </c>
      <c r="R39" s="12">
        <f t="shared" si="5"/>
        <v>15.199999999999989</v>
      </c>
    </row>
    <row r="40" spans="1:18" x14ac:dyDescent="0.25">
      <c r="A40" s="7">
        <v>328.21109999999999</v>
      </c>
      <c r="B40" s="7">
        <v>351.171099999999</v>
      </c>
      <c r="C40" s="15">
        <f t="shared" si="0"/>
        <v>22.959999999999013</v>
      </c>
      <c r="D40" s="8">
        <v>204.89109999999999</v>
      </c>
      <c r="E40" s="8">
        <v>211.8511</v>
      </c>
      <c r="F40" s="8">
        <f t="shared" si="1"/>
        <v>6.960000000000008</v>
      </c>
      <c r="G40" s="9">
        <v>334.93110000000001</v>
      </c>
      <c r="H40" s="9">
        <v>338.731099999999</v>
      </c>
      <c r="I40" s="9">
        <f t="shared" si="2"/>
        <v>3.7999999999989882</v>
      </c>
      <c r="M40" s="11">
        <v>180.89109999999999</v>
      </c>
      <c r="N40" s="11">
        <v>196.8511</v>
      </c>
      <c r="O40" s="11">
        <f t="shared" si="4"/>
        <v>15.960000000000008</v>
      </c>
      <c r="P40" s="12">
        <v>267.29109999999997</v>
      </c>
      <c r="Q40" s="12">
        <v>273.89109999999999</v>
      </c>
      <c r="R40" s="12">
        <f t="shared" si="5"/>
        <v>6.6000000000000227</v>
      </c>
    </row>
    <row r="41" spans="1:18" x14ac:dyDescent="0.25">
      <c r="A41" s="7">
        <v>353.5711</v>
      </c>
      <c r="B41" s="7">
        <v>361.171099999999</v>
      </c>
      <c r="C41" s="15">
        <f t="shared" si="0"/>
        <v>7.5999999999989996</v>
      </c>
      <c r="D41" s="8">
        <v>215.81109999999899</v>
      </c>
      <c r="E41" s="8">
        <v>222.8511</v>
      </c>
      <c r="F41" s="8">
        <f t="shared" si="1"/>
        <v>7.0400000000010152</v>
      </c>
      <c r="G41" s="9">
        <v>341.5711</v>
      </c>
      <c r="H41" s="9">
        <v>360.29109999999997</v>
      </c>
      <c r="I41" s="9">
        <f t="shared" si="2"/>
        <v>18.71999999999997</v>
      </c>
      <c r="M41" s="11">
        <v>202.89109999999999</v>
      </c>
      <c r="N41" s="11">
        <v>204.8511</v>
      </c>
      <c r="O41" s="11">
        <f t="shared" si="4"/>
        <v>1.960000000000008</v>
      </c>
      <c r="P41" s="12">
        <v>276.4511</v>
      </c>
      <c r="Q41" s="12">
        <v>278.89109999999999</v>
      </c>
      <c r="R41" s="12">
        <f t="shared" si="5"/>
        <v>2.4399999999999977</v>
      </c>
    </row>
    <row r="42" spans="1:18" x14ac:dyDescent="0.25">
      <c r="D42" s="8">
        <v>232.89109999999999</v>
      </c>
      <c r="E42" s="8">
        <v>238.41109999999901</v>
      </c>
      <c r="F42" s="8">
        <f t="shared" si="1"/>
        <v>5.5199999999990155</v>
      </c>
      <c r="M42" s="11">
        <v>207.89109999999999</v>
      </c>
      <c r="N42" s="11">
        <v>208.8511</v>
      </c>
      <c r="O42" s="11">
        <f t="shared" si="4"/>
        <v>0.96000000000000796</v>
      </c>
      <c r="P42" s="12">
        <v>280.93110000000001</v>
      </c>
      <c r="Q42" s="12">
        <v>296.89109999999999</v>
      </c>
      <c r="R42" s="12">
        <f t="shared" si="5"/>
        <v>15.95999999999998</v>
      </c>
    </row>
    <row r="43" spans="1:18" x14ac:dyDescent="0.25">
      <c r="D43" s="8">
        <v>243.89109999999999</v>
      </c>
      <c r="E43" s="8">
        <v>244.85109999999901</v>
      </c>
      <c r="F43" s="8">
        <f t="shared" si="1"/>
        <v>0.9599999999990132</v>
      </c>
      <c r="M43" s="11">
        <v>212.5711</v>
      </c>
      <c r="N43" s="11">
        <v>216.8511</v>
      </c>
      <c r="O43" s="11">
        <f t="shared" si="4"/>
        <v>4.2800000000000011</v>
      </c>
      <c r="P43" s="12">
        <v>299.0111</v>
      </c>
      <c r="Q43" s="12">
        <v>302.89109999999999</v>
      </c>
      <c r="R43" s="12">
        <f t="shared" si="5"/>
        <v>3.8799999999999955</v>
      </c>
    </row>
    <row r="44" spans="1:18" x14ac:dyDescent="0.25">
      <c r="D44" s="8">
        <v>251.49109999999999</v>
      </c>
      <c r="E44" s="8">
        <v>256.85109999999997</v>
      </c>
      <c r="F44" s="8">
        <f t="shared" si="1"/>
        <v>5.3599999999999852</v>
      </c>
      <c r="M44" s="11">
        <v>222.97110000000001</v>
      </c>
      <c r="N44" s="11">
        <v>237.85109999999901</v>
      </c>
      <c r="O44" s="11">
        <f t="shared" si="4"/>
        <v>14.879999999999001</v>
      </c>
      <c r="P44" s="12">
        <v>316.81110000000001</v>
      </c>
      <c r="Q44" s="12">
        <v>319.5711</v>
      </c>
      <c r="R44" s="12">
        <f t="shared" si="5"/>
        <v>2.7599999999999909</v>
      </c>
    </row>
    <row r="45" spans="1:18" x14ac:dyDescent="0.25">
      <c r="D45" s="8">
        <v>266.0111</v>
      </c>
      <c r="E45" s="8">
        <v>270.85109999999997</v>
      </c>
      <c r="F45" s="8">
        <f t="shared" si="1"/>
        <v>4.839999999999975</v>
      </c>
      <c r="M45" s="11">
        <v>243.4511</v>
      </c>
      <c r="N45" s="11">
        <v>244.85109999999901</v>
      </c>
      <c r="O45" s="11">
        <f t="shared" si="4"/>
        <v>1.3999999999990109</v>
      </c>
      <c r="P45" s="12">
        <v>323.05110000000002</v>
      </c>
      <c r="Q45" s="12">
        <v>329.5711</v>
      </c>
      <c r="R45" s="12">
        <f t="shared" si="5"/>
        <v>6.5199999999999818</v>
      </c>
    </row>
    <row r="46" spans="1:18" x14ac:dyDescent="0.25">
      <c r="D46" s="8">
        <v>272.89109999999999</v>
      </c>
      <c r="E46" s="8">
        <v>284.0111</v>
      </c>
      <c r="F46" s="8">
        <f t="shared" si="1"/>
        <v>11.120000000000005</v>
      </c>
      <c r="M46" s="11">
        <v>249.61109999999999</v>
      </c>
      <c r="N46" s="11">
        <v>260.85109999999997</v>
      </c>
      <c r="O46" s="11">
        <f t="shared" si="4"/>
        <v>11.239999999999981</v>
      </c>
      <c r="P46" s="12">
        <v>344.85109999999997</v>
      </c>
      <c r="Q46" s="12">
        <v>349.5711</v>
      </c>
      <c r="R46" s="12">
        <f t="shared" si="5"/>
        <v>4.7200000000000273</v>
      </c>
    </row>
    <row r="47" spans="1:18" x14ac:dyDescent="0.25">
      <c r="D47" s="8">
        <v>304.53109999999998</v>
      </c>
      <c r="E47" s="8">
        <v>305.85109999999997</v>
      </c>
      <c r="F47" s="8">
        <f t="shared" si="1"/>
        <v>1.3199999999999932</v>
      </c>
      <c r="M47" s="11">
        <v>263.05110000000002</v>
      </c>
      <c r="N47" s="11">
        <v>265.85109999999997</v>
      </c>
      <c r="O47" s="11">
        <f t="shared" si="4"/>
        <v>2.7999999999999545</v>
      </c>
      <c r="P47" s="12">
        <v>351.61110000000002</v>
      </c>
      <c r="Q47" s="12">
        <v>353.5711</v>
      </c>
      <c r="R47" s="12">
        <f t="shared" si="5"/>
        <v>1.9599999999999795</v>
      </c>
    </row>
    <row r="48" spans="1:18" x14ac:dyDescent="0.25">
      <c r="D48" s="8">
        <v>308.4511</v>
      </c>
      <c r="E48" s="8">
        <v>313.85109999999997</v>
      </c>
      <c r="F48" s="8">
        <f t="shared" si="1"/>
        <v>5.3999999999999773</v>
      </c>
      <c r="M48" s="11">
        <v>274.89109999999999</v>
      </c>
      <c r="N48" s="11">
        <v>276.85109999999997</v>
      </c>
      <c r="O48" s="11">
        <f t="shared" si="4"/>
        <v>1.9599999999999795</v>
      </c>
      <c r="P48" s="12">
        <v>357.171099999999</v>
      </c>
      <c r="Q48" s="12">
        <v>362.81110000000001</v>
      </c>
      <c r="R48" s="12">
        <f t="shared" si="5"/>
        <v>5.6400000000010095</v>
      </c>
    </row>
    <row r="49" spans="4:18" x14ac:dyDescent="0.25">
      <c r="D49" s="8">
        <v>317.37110000000001</v>
      </c>
      <c r="E49" s="8">
        <v>331.171099999999</v>
      </c>
      <c r="F49" s="8">
        <f t="shared" si="1"/>
        <v>13.799999999998988</v>
      </c>
      <c r="M49" s="11">
        <v>295.0111</v>
      </c>
      <c r="N49" s="11">
        <v>298.85109999999997</v>
      </c>
      <c r="O49" s="11">
        <f t="shared" si="4"/>
        <v>3.839999999999975</v>
      </c>
      <c r="P49" s="14"/>
      <c r="Q49" s="14"/>
      <c r="R49" s="14"/>
    </row>
    <row r="50" spans="4:18" x14ac:dyDescent="0.25">
      <c r="D50" s="8">
        <v>349.93110000000001</v>
      </c>
      <c r="E50" s="8">
        <v>364.85109999999997</v>
      </c>
      <c r="F50" s="8">
        <f t="shared" si="1"/>
        <v>14.919999999999959</v>
      </c>
      <c r="M50" s="11">
        <v>300.89109999999999</v>
      </c>
      <c r="N50" s="11">
        <v>306.37110000000001</v>
      </c>
      <c r="O50" s="11">
        <f t="shared" si="4"/>
        <v>5.4800000000000182</v>
      </c>
    </row>
    <row r="51" spans="4:18" x14ac:dyDescent="0.25">
      <c r="M51" s="11">
        <v>309.29109999999997</v>
      </c>
      <c r="N51" s="11">
        <v>315.61110000000002</v>
      </c>
      <c r="O51" s="11">
        <f t="shared" si="4"/>
        <v>6.32000000000005</v>
      </c>
    </row>
    <row r="52" spans="4:18" x14ac:dyDescent="0.25">
      <c r="M52" s="11">
        <v>319.89109999999999</v>
      </c>
      <c r="N52" s="11">
        <v>320.85109999999997</v>
      </c>
      <c r="O52" s="11">
        <f t="shared" si="4"/>
        <v>0.95999999999997954</v>
      </c>
    </row>
    <row r="53" spans="4:18" x14ac:dyDescent="0.25">
      <c r="M53" s="11">
        <v>328.0111</v>
      </c>
      <c r="N53" s="11">
        <v>345.93110000000001</v>
      </c>
      <c r="O53" s="11">
        <f t="shared" si="4"/>
        <v>17.920000000000016</v>
      </c>
    </row>
    <row r="54" spans="4:18" x14ac:dyDescent="0.25">
      <c r="M54" s="11">
        <v>349.37110000000001</v>
      </c>
      <c r="N54" s="11">
        <v>350.85109999999997</v>
      </c>
      <c r="O54" s="11">
        <f t="shared" si="4"/>
        <v>1.4799999999999613</v>
      </c>
    </row>
    <row r="55" spans="4:18" x14ac:dyDescent="0.25">
      <c r="M55" s="11">
        <v>354.49110000000002</v>
      </c>
      <c r="N55" s="11">
        <v>360.85109999999997</v>
      </c>
      <c r="O55" s="11">
        <f t="shared" si="4"/>
        <v>6.3599999999999568</v>
      </c>
    </row>
  </sheetData>
  <mergeCells count="5">
    <mergeCell ref="A1:B1"/>
    <mergeCell ref="D1:E1"/>
    <mergeCell ref="G1:H1"/>
    <mergeCell ref="J1:K1"/>
    <mergeCell ref="P1:Q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my_segs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Dagmar Schoenenberg</cp:lastModifiedBy>
  <dcterms:created xsi:type="dcterms:W3CDTF">2025-10-13T17:01:10Z</dcterms:created>
  <dcterms:modified xsi:type="dcterms:W3CDTF">2025-10-13T17:54:56Z</dcterms:modified>
</cp:coreProperties>
</file>